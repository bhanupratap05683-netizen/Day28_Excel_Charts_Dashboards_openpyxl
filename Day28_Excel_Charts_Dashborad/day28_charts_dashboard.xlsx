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ea84ffcf41a175/Documents/Day28_Excel_Charts_Dashborad/"/>
    </mc:Choice>
  </mc:AlternateContent>
  <xr:revisionPtr revIDLastSave="91" documentId="11_8FF0FEEE5DF84C8DDACB8CB4ACFBCE73376A7B11" xr6:coauthVersionLast="47" xr6:coauthVersionMax="47" xr10:uidLastSave="{70F73400-77FF-44BF-87FB-CEBF90C5A93A}"/>
  <bookViews>
    <workbookView xWindow="-108" yWindow="-108" windowWidth="23256" windowHeight="12456" xr2:uid="{00000000-000D-0000-FFFF-FFFF00000000}"/>
  </bookViews>
  <sheets>
    <sheet name="Bar Chart" sheetId="1" r:id="rId1"/>
    <sheet name="Line Chart" sheetId="2" r:id="rId2"/>
    <sheet name="Pie Chart" sheetId="3" r:id="rId3"/>
    <sheet name="Area Chart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" l="1"/>
  <c r="H4" i="5"/>
  <c r="E4" i="5"/>
  <c r="B4" i="5"/>
</calcChain>
</file>

<file path=xl/sharedStrings.xml><?xml version="1.0" encoding="utf-8"?>
<sst xmlns="http://schemas.openxmlformats.org/spreadsheetml/2006/main" count="77" uniqueCount="47">
  <si>
    <t>Month</t>
  </si>
  <si>
    <t>Revenue</t>
  </si>
  <si>
    <t>Expenses</t>
  </si>
  <si>
    <t>Net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</si>
  <si>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</si>
  <si>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</si>
  <si>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</si>
  <si>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</si>
  <si>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</si>
  <si>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</si>
  <si>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</si>
  <si>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</si>
  <si>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</si>
  <si>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</si>
  <si>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</si>
  <si>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</si>
  <si>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Week</t>
  </si>
  <si>
    <t>RELIANCE</t>
  </si>
  <si>
    <t>INFY</t>
  </si>
  <si>
    <t>TCS</t>
  </si>
  <si>
    <t>HDFC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</si>
  <si>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</si>
  <si>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</si>
  <si>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</si>
  <si>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</si>
  <si>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</si>
  <si>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</si>
  <si>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</si>
  <si>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</si>
  <si>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</si>
  <si>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</si>
  <si>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</si>
  <si>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</si>
  <si>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Department</t>
  </si>
  <si>
    <t>Actual Spend</t>
  </si>
  <si>
    <t>Sales &amp; Marketing</t>
  </si>
  <si>
    <t>Operations</t>
  </si>
  <si>
    <t>Human Resources</t>
  </si>
  <si>
    <t>Technology / IT</t>
  </si>
  <si>
    <t>Finance &amp; Admin</t>
  </si>
  <si>
    <t>R&amp;D</t>
  </si>
  <si>
    <t>Financial Performance Dashboard — FY 2026</t>
  </si>
  <si>
    <t>Profit</t>
  </si>
  <si>
    <t>Total Revenue (₹)</t>
  </si>
  <si>
    <t>Total Expenses (₹)</t>
  </si>
  <si>
    <t>Net Profit (₹)</t>
  </si>
  <si>
    <t>Avg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</si>
</sst>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0.0%"/>
    <numFmt numFmtId="167" formatCode="_ [$₹-4009]\ * #,##0_ ;_ [$₹-4009]\ * \-#,##0_ ;_ [$₹-4009]\ * &quot;-&quot;??_ ;_ @_ "/>
    <numFmt numFmtId="169" formatCode="_ &quot;₹&quot;\ * #,##0_ ;_ &quot;₹&quot;\ * \-#,##0_ ;_ &quot;₹&quot;\ * &quot;-&quot;??_ ;_ @_ 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7030A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2" xfId="0" applyBorder="1"/>
    <xf numFmtId="0" fontId="5" fillId="0" borderId="2" xfId="0" applyFont="1" applyBorder="1"/>
    <xf numFmtId="0" fontId="6" fillId="0" borderId="2" xfId="0" applyFont="1" applyFill="1" applyBorder="1"/>
    <xf numFmtId="167" fontId="0" fillId="0" borderId="2" xfId="0" applyNumberFormat="1" applyBorder="1"/>
    <xf numFmtId="44" fontId="5" fillId="0" borderId="2" xfId="1" applyFont="1" applyBorder="1"/>
    <xf numFmtId="169" fontId="5" fillId="0" borderId="2" xfId="1" applyNumberFormat="1" applyFont="1" applyBorder="1"/>
    <xf numFmtId="169" fontId="0" fillId="0" borderId="2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vs Expenses (FY 2026)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'Bar Chart'!$B$1</c:f>
              <c:strCache>
                <c:ptCount val="1"/>
                <c:pt idx="0">
                  <c:v> Revenue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 [$₹-4009]\ * #,##0_ ;_ [$₹-4009]\ * \-#,##0_ ;_ [$₹-4009]\ * "-"??_ ;_ @_ </c:formatCode>
                <c:ptCount val="12"/>
                <c:pt idx="0">
                  <c:v>420000</c:v>
                </c:pt>
                <c:pt idx="1">
                  <c:v>385000</c:v>
                </c:pt>
                <c:pt idx="2">
                  <c:v>510000</c:v>
                </c:pt>
                <c:pt idx="3">
                  <c:v>475000</c:v>
                </c:pt>
                <c:pt idx="4">
                  <c:v>540000</c:v>
                </c:pt>
                <c:pt idx="5">
                  <c:v>620000</c:v>
                </c:pt>
                <c:pt idx="6">
                  <c:v>590000</c:v>
                </c:pt>
                <c:pt idx="7">
                  <c:v>650000</c:v>
                </c:pt>
                <c:pt idx="8">
                  <c:v>710000</c:v>
                </c:pt>
                <c:pt idx="9">
                  <c:v>680000</c:v>
                </c:pt>
                <c:pt idx="10">
                  <c:v>760000</c:v>
                </c:pt>
                <c:pt idx="11">
                  <c:v>830000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4-47B6-8790-8D93B5893F55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Expenses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 "₹"\ * #,##0_ ;_ "₹"\ * \-#,##0_ ;_ "₹"\ * "-"??_ ;_ @_ </c:formatCode>
                <c:ptCount val="12"/>
                <c:pt idx="0">
                  <c:v>310000</c:v>
                </c:pt>
                <c:pt idx="1">
                  <c:v>295000</c:v>
                </c:pt>
                <c:pt idx="2">
                  <c:v>355000</c:v>
                </c:pt>
                <c:pt idx="3">
                  <c:v>340000</c:v>
                </c:pt>
                <c:pt idx="4">
                  <c:v>370000</c:v>
                </c:pt>
                <c:pt idx="5">
                  <c:v>410000</c:v>
                </c:pt>
                <c:pt idx="6">
                  <c:v>395000</c:v>
                </c:pt>
                <c:pt idx="7">
                  <c:v>425000</c:v>
                </c:pt>
                <c:pt idx="8">
                  <c:v>460000</c:v>
                </c:pt>
                <c:pt idx="9">
                  <c:v>440000</c:v>
                </c:pt>
                <c:pt idx="10">
                  <c:v>490000</c:v>
                </c:pt>
                <c:pt idx="11">
                  <c:v>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A4-47B6-8790-8D93B5893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(₹)</a:t>
                </a:r>
              </a:p>
            </c:rich>
          </c:tx>
          <c:layout>
            <c:manualLayout>
              <c:xMode val="edge"/>
              <c:yMode val="edge"/>
              <c:x val="1.9402777777777779E-2"/>
              <c:y val="0.8017009259259260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Stock Price Comparison – 12 Weeks</a:t>
            </a:r>
          </a:p>
        </c:rich>
      </c:tx>
      <c:layout>
        <c:manualLayout>
          <c:xMode val="edge"/>
          <c:yMode val="edge"/>
          <c:x val="0.37870050505050507"/>
          <c:y val="4.0705128205128206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'Line Chart'!$B$1</c:f>
              <c:strCache>
                <c:ptCount val="1"/>
                <c:pt idx="0">
                  <c:v> RELIANCE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</c:strCache>
            </c:strRef>
          </c:cat>
          <c:val>
            <c:numRef>
              <c:f>'Line Chart'!$B$2:$B$13</c:f>
              <c:numCache>
                <c:formatCode>General</c:formatCode>
                <c:ptCount val="12"/>
                <c:pt idx="0">
                  <c:v>2450</c:v>
                </c:pt>
                <c:pt idx="1">
                  <c:v>2510</c:v>
                </c:pt>
                <c:pt idx="2">
                  <c:v>2480</c:v>
                </c:pt>
                <c:pt idx="3">
                  <c:v>2560</c:v>
                </c:pt>
                <c:pt idx="4">
                  <c:v>2530</c:v>
                </c:pt>
                <c:pt idx="5">
                  <c:v>2620</c:v>
                </c:pt>
                <c:pt idx="6">
                  <c:v>2590</c:v>
                </c:pt>
                <c:pt idx="7">
                  <c:v>2680</c:v>
                </c:pt>
                <c:pt idx="8">
                  <c:v>2750</c:v>
                </c:pt>
                <c:pt idx="9">
                  <c:v>2720</c:v>
                </c:pt>
                <c:pt idx="10">
                  <c:v>2810</c:v>
                </c:pt>
                <c:pt idx="11">
                  <c:v>2870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56-4138-B01D-B67050832B00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INFY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</c:strCache>
            </c:strRef>
          </c:cat>
          <c:val>
            <c:numRef>
              <c:f>'Line Chart'!$C$2:$C$13</c:f>
              <c:numCache>
                <c:formatCode>General</c:formatCode>
                <c:ptCount val="12"/>
                <c:pt idx="0">
                  <c:v>1520</c:v>
                </c:pt>
                <c:pt idx="1">
                  <c:v>1490</c:v>
                </c:pt>
                <c:pt idx="2">
                  <c:v>1555</c:v>
                </c:pt>
                <c:pt idx="3">
                  <c:v>1610</c:v>
                </c:pt>
                <c:pt idx="4">
                  <c:v>1580</c:v>
                </c:pt>
                <c:pt idx="5">
                  <c:v>1640</c:v>
                </c:pt>
                <c:pt idx="6">
                  <c:v>1700</c:v>
                </c:pt>
                <c:pt idx="7">
                  <c:v>1670</c:v>
                </c:pt>
                <c:pt idx="8">
                  <c:v>1720</c:v>
                </c:pt>
                <c:pt idx="9">
                  <c:v>1760</c:v>
                </c:pt>
                <c:pt idx="10">
                  <c:v>1800</c:v>
                </c:pt>
                <c:pt idx="11">
                  <c:v>1830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56-4138-B01D-B67050832B00}"/>
            </c:ext>
          </c:extLst>
        </c:ser>
        <c:ser>
          <c:idx val="2"/>
          <c:order val="2"/>
          <c:tx>
            <c:strRef>
              <c:f>'Line Chart'!$D$1</c:f>
              <c:strCache>
                <c:ptCount val="1"/>
                <c:pt idx="0">
                  <c:v>TCS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</c:strCache>
            </c:strRef>
          </c:cat>
          <c:val>
            <c:numRef>
              <c:f>'Line Chart'!$D$2:$D$13</c:f>
              <c:numCache>
                <c:formatCode>General</c:formatCode>
                <c:ptCount val="12"/>
                <c:pt idx="0">
                  <c:v>3800</c:v>
                </c:pt>
                <c:pt idx="1">
                  <c:v>3850</c:v>
                </c:pt>
                <c:pt idx="2">
                  <c:v>3790</c:v>
                </c:pt>
                <c:pt idx="3">
                  <c:v>3920</c:v>
                </c:pt>
                <c:pt idx="4">
                  <c:v>3870</c:v>
                </c:pt>
                <c:pt idx="5">
                  <c:v>3950</c:v>
                </c:pt>
                <c:pt idx="6">
                  <c:v>4010</c:v>
                </c:pt>
                <c:pt idx="7">
                  <c:v>4080</c:v>
                </c:pt>
                <c:pt idx="8">
                  <c:v>4120</c:v>
                </c:pt>
                <c:pt idx="9">
                  <c:v>4090</c:v>
                </c:pt>
                <c:pt idx="10">
                  <c:v>4200</c:v>
                </c:pt>
                <c:pt idx="11">
                  <c:v>4280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856-4138-B01D-B67050832B00}"/>
            </c:ext>
          </c:extLst>
        </c:ser>
        <c:ser>
          <c:idx val="3"/>
          <c:order val="3"/>
          <c:tx>
            <c:strRef>
              <c:f>'Line Chart'!$E$1</c:f>
              <c:strCache>
                <c:ptCount val="1"/>
                <c:pt idx="0">
                  <c:v>HDFC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</c:strCache>
            </c:strRef>
          </c:cat>
          <c:val>
            <c:numRef>
              <c:f>'Line Chart'!$E$2:$E$13</c:f>
              <c:numCache>
                <c:formatCode>General</c:formatCode>
                <c:ptCount val="12"/>
                <c:pt idx="0">
                  <c:v>1650</c:v>
                </c:pt>
                <c:pt idx="1">
                  <c:v>1680</c:v>
                </c:pt>
                <c:pt idx="2">
                  <c:v>1700</c:v>
                </c:pt>
                <c:pt idx="3">
                  <c:v>1720</c:v>
                </c:pt>
                <c:pt idx="4">
                  <c:v>1695</c:v>
                </c:pt>
                <c:pt idx="5">
                  <c:v>1760</c:v>
                </c:pt>
                <c:pt idx="6">
                  <c:v>1780</c:v>
                </c:pt>
                <c:pt idx="7">
                  <c:v>1810</c:v>
                </c:pt>
                <c:pt idx="8">
                  <c:v>1840</c:v>
                </c:pt>
                <c:pt idx="9">
                  <c:v>1870</c:v>
                </c:pt>
                <c:pt idx="10">
                  <c:v>1900</c:v>
                </c:pt>
                <c:pt idx="11">
                  <c:v>1940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856-4138-B01D-B67050832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809482323232322"/>
          <c:y val="0.65965683760683758"/>
          <c:w val="0.11143800505050505"/>
          <c:h val="0.1962846153846153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IN"/>
              <a:t>Department Expense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Actual Spend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Chart'!$A$2:$A$7</c:f>
              <c:strCache>
                <c:ptCount val="6"/>
                <c:pt idx="0">
                  <c:v>Sales &amp; Marketing</c:v>
                </c:pt>
                <c:pt idx="1">
                  <c:v>Operations</c:v>
                </c:pt>
                <c:pt idx="2">
                  <c:v>Human Resources</c:v>
                </c:pt>
                <c:pt idx="3">
                  <c:v>Technology / IT</c:v>
                </c:pt>
                <c:pt idx="4">
                  <c:v>Finance &amp; Admin</c:v>
                </c:pt>
                <c:pt idx="5">
                  <c:v>R&amp;D</c:v>
                </c:pt>
              </c:strCache>
            </c:strRef>
          </c:cat>
          <c:val>
            <c:numRef>
              <c:f>'Pie Chart'!$B$2:$B$7</c:f>
              <c:numCache>
                <c:formatCode>_ "₹"\ * #,##0_ ;_ "₹"\ * \-#,##0_ ;_ "₹"\ * "-"??_ ;_ @_ </c:formatCode>
                <c:ptCount val="6"/>
                <c:pt idx="0">
                  <c:v>1650000</c:v>
                </c:pt>
                <c:pt idx="1">
                  <c:v>2550000</c:v>
                </c:pt>
                <c:pt idx="2">
                  <c:v>870000</c:v>
                </c:pt>
                <c:pt idx="3">
                  <c:v>1180000</c:v>
                </c:pt>
                <c:pt idx="4">
                  <c:v>580000</c:v>
                </c:pt>
                <c:pt idx="5">
                  <c:v>810000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2-41E2-9AA3-5DE55464E98D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4"/>
  <c:chart>
    <c:title>
      <c:tx>
        <c:rich>
          <a:bodyPr/>
          <a:lstStyle/>
          <a:p>
            <a:pPr>
              <a:defRPr/>
            </a:pPr>
            <a:r>
              <a:rPr lang="en-IN"/>
              <a:t>Revenue vs Expenses – Area View</a:t>
            </a:r>
          </a:p>
        </c:rich>
      </c:tx>
      <c:layout>
        <c:manualLayout>
          <c:xMode val="edge"/>
          <c:yMode val="edge"/>
          <c:x val="0.37309694444444447"/>
          <c:y val="4.1157407407407406E-2"/>
        </c:manualLayout>
      </c:layout>
      <c:overlay val="1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'Area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 "₹"\ * #,##0_ ;_ "₹"\ * \-#,##0_ ;_ "₹"\ * "-"??_ ;_ @_ </c:formatCode>
                <c:ptCount val="12"/>
                <c:pt idx="0">
                  <c:v>420000</c:v>
                </c:pt>
                <c:pt idx="1">
                  <c:v>385000</c:v>
                </c:pt>
                <c:pt idx="2">
                  <c:v>510000</c:v>
                </c:pt>
                <c:pt idx="3">
                  <c:v>475000</c:v>
                </c:pt>
                <c:pt idx="4">
                  <c:v>540000</c:v>
                </c:pt>
                <c:pt idx="5">
                  <c:v>620000</c:v>
                </c:pt>
                <c:pt idx="6">
                  <c:v>590000</c:v>
                </c:pt>
                <c:pt idx="7">
                  <c:v>650000</c:v>
                </c:pt>
                <c:pt idx="8">
                  <c:v>710000</c:v>
                </c:pt>
                <c:pt idx="9">
                  <c:v>680000</c:v>
                </c:pt>
                <c:pt idx="10">
                  <c:v>760000</c:v>
                </c:pt>
                <c:pt idx="11">
                  <c:v>830000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B-4E53-A62E-C1D93B6B775D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 "₹"\ * #,##0_ ;_ "₹"\ * \-#,##0_ ;_ "₹"\ * "-"??_ ;_ @_ </c:formatCode>
                <c:ptCount val="12"/>
                <c:pt idx="0">
                  <c:v>310000</c:v>
                </c:pt>
                <c:pt idx="1">
                  <c:v>295000</c:v>
                </c:pt>
                <c:pt idx="2">
                  <c:v>355000</c:v>
                </c:pt>
                <c:pt idx="3">
                  <c:v>340000</c:v>
                </c:pt>
                <c:pt idx="4">
                  <c:v>370000</c:v>
                </c:pt>
                <c:pt idx="5">
                  <c:v>410000</c:v>
                </c:pt>
                <c:pt idx="6">
                  <c:v>395000</c:v>
                </c:pt>
                <c:pt idx="7">
                  <c:v>425000</c:v>
                </c:pt>
                <c:pt idx="8">
                  <c:v>460000</c:v>
                </c:pt>
                <c:pt idx="9">
                  <c:v>440000</c:v>
                </c:pt>
                <c:pt idx="10">
                  <c:v>490000</c:v>
                </c:pt>
                <c:pt idx="11">
                  <c:v>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B-4E53-A62E-C1D93B6B7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1"/>
        </c:title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vs Expenses</a:t>
            </a:r>
          </a:p>
        </c:rich>
      </c:tx>
      <c:layout>
        <c:manualLayout>
          <c:xMode val="edge"/>
          <c:yMode val="edge"/>
          <c:x val="0.41560666666666668"/>
          <c:y val="4.703703703703703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Dashboard!$S$1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Dashboard!$R$2:$R$13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Dashboard!$S$2:$S$13</c:f>
              <c:numCache>
                <c:formatCode>_ "₹"\ * #,##0_ ;_ "₹"\ * \-#,##0_ ;_ "₹"\ * "-"??_ ;_ @_ </c:formatCode>
                <c:ptCount val="12"/>
                <c:pt idx="0">
                  <c:v>420000</c:v>
                </c:pt>
                <c:pt idx="1">
                  <c:v>385000</c:v>
                </c:pt>
                <c:pt idx="2">
                  <c:v>510000</c:v>
                </c:pt>
                <c:pt idx="3">
                  <c:v>475000</c:v>
                </c:pt>
                <c:pt idx="4">
                  <c:v>540000</c:v>
                </c:pt>
                <c:pt idx="5">
                  <c:v>620000</c:v>
                </c:pt>
                <c:pt idx="6">
                  <c:v>590000</c:v>
                </c:pt>
                <c:pt idx="7">
                  <c:v>650000</c:v>
                </c:pt>
                <c:pt idx="8">
                  <c:v>710000</c:v>
                </c:pt>
                <c:pt idx="9">
                  <c:v>680000</c:v>
                </c:pt>
                <c:pt idx="10">
                  <c:v>760000</c:v>
                </c:pt>
                <c:pt idx="11">
                  <c:v>830000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2-40D0-814F-D45298F531FA}"/>
            </c:ext>
          </c:extLst>
        </c:ser>
        <c:ser>
          <c:idx val="1"/>
          <c:order val="1"/>
          <c:tx>
            <c:strRef>
              <c:f>Dashboard!$T$1</c:f>
              <c:strCache>
                <c:ptCount val="1"/>
                <c:pt idx="0">
                  <c:v>Expenses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Dashboard!$R$2:$R$13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Dashboard!$T$2:$T$13</c:f>
              <c:numCache>
                <c:formatCode>_ "₹"\ * #,##0_ ;_ "₹"\ * \-#,##0_ ;_ "₹"\ * "-"??_ ;_ @_ </c:formatCode>
                <c:ptCount val="12"/>
                <c:pt idx="0">
                  <c:v>310000</c:v>
                </c:pt>
                <c:pt idx="1">
                  <c:v>295000</c:v>
                </c:pt>
                <c:pt idx="2">
                  <c:v>355000</c:v>
                </c:pt>
                <c:pt idx="3">
                  <c:v>340000</c:v>
                </c:pt>
                <c:pt idx="4">
                  <c:v>370000</c:v>
                </c:pt>
                <c:pt idx="5">
                  <c:v>410000</c:v>
                </c:pt>
                <c:pt idx="6">
                  <c:v>395000</c:v>
                </c:pt>
                <c:pt idx="7">
                  <c:v>425000</c:v>
                </c:pt>
                <c:pt idx="8">
                  <c:v>460000</c:v>
                </c:pt>
                <c:pt idx="9">
                  <c:v>440000</c:v>
                </c:pt>
                <c:pt idx="10">
                  <c:v>490000</c:v>
                </c:pt>
                <c:pt idx="11">
                  <c:v>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2-40D0-814F-D45298F53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557194444444447"/>
          <c:y val="0.929811574074074"/>
          <c:w val="0.39591152777777777"/>
          <c:h val="4.96097222222222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4"/>
  <c:chart>
    <c:title>
      <c:tx>
        <c:rich>
          <a:bodyPr/>
          <a:lstStyle/>
          <a:p>
            <a:pPr>
              <a:defRPr/>
            </a:pPr>
            <a:r>
              <a:rPr lang="en-IN"/>
              <a:t>Profit Trend</a:t>
            </a:r>
          </a:p>
        </c:rich>
      </c:tx>
      <c:layout>
        <c:manualLayout>
          <c:xMode val="edge"/>
          <c:yMode val="edge"/>
          <c:x val="0.45073013888888891"/>
          <c:y val="5.8796296296296298E-2"/>
        </c:manualLayout>
      </c:layout>
      <c:overlay val="1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Dashboard!$U$1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Dashboard!$R$2:$R$13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Dashboard!$U$2:$U$13</c:f>
              <c:numCache>
                <c:formatCode>_ "₹"\ * #,##0_ ;_ "₹"\ * \-#,##0_ ;_ "₹"\ * "-"??_ ;_ @_ </c:formatCode>
                <c:ptCount val="12"/>
                <c:pt idx="0">
                  <c:v>110000</c:v>
                </c:pt>
                <c:pt idx="1">
                  <c:v>90000</c:v>
                </c:pt>
                <c:pt idx="2">
                  <c:v>155000</c:v>
                </c:pt>
                <c:pt idx="3">
                  <c:v>135000</c:v>
                </c:pt>
                <c:pt idx="4">
                  <c:v>170000</c:v>
                </c:pt>
                <c:pt idx="5">
                  <c:v>210000</c:v>
                </c:pt>
                <c:pt idx="6">
                  <c:v>195000</c:v>
                </c:pt>
                <c:pt idx="7">
                  <c:v>225000</c:v>
                </c:pt>
                <c:pt idx="8">
                  <c:v>250000</c:v>
                </c:pt>
                <c:pt idx="9">
                  <c:v>240000</c:v>
                </c:pt>
                <c:pt idx="10">
                  <c:v>270000</c:v>
                </c:pt>
                <c:pt idx="11">
                  <c:v>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1-4D4E-9F3C-51DFD74E1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5</xdr:row>
      <xdr:rowOff>0</xdr:rowOff>
    </xdr:from>
    <xdr:ext cx="72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>
      <selection activeCell="C16" sqref="C16"/>
    </sheetView>
  </sheetViews>
  <sheetFormatPr defaultRowHeight="14.4" x14ac:dyDescent="0.3"/>
  <cols>
    <col min="2" max="4" width="12.77734375" bestFit="1" customWidth="1"/>
  </cols>
  <sheetData>
    <row r="1" spans="1:4" x14ac:dyDescent="0.3">
      <c r="A1" s="12" t="s">
        <v>0</v>
      </c>
      <c r="B1" s="15" t="s">
        <v>1</v>
      </c>
      <c r="C1" s="16" t="s">
        <v>2</v>
      </c>
      <c r="D1" s="16" t="s">
        <v>3</v>
      </c>
    </row>
    <row r="2" spans="1:4" x14ac:dyDescent="0.3">
      <c r="A2" s="11" t="s">
        <v>4</v>
      </c>
      <c r="B2" s="14">
        <v>420000</v>
      </c>
      <c r="C2" s="17">
        <v>310000</v>
      </c>
      <c r="D2" s="17">
        <v>110000</v>
      </c>
    </row>
    <row r="3" spans="1:4" x14ac:dyDescent="0.3">
      <c r="A3" s="11" t="s">
        <v>5</v>
      </c>
      <c r="B3" s="14">
        <v>385000</v>
      </c>
      <c r="C3" s="17">
        <v>295000</v>
      </c>
      <c r="D3" s="17">
        <v>90000</v>
      </c>
    </row>
    <row r="4" spans="1:4" x14ac:dyDescent="0.3">
      <c r="A4" s="11" t="s">
        <v>6</v>
      </c>
      <c r="B4" s="14">
        <v>510000</v>
      </c>
      <c r="C4" s="17">
        <v>355000</v>
      </c>
      <c r="D4" s="17">
        <v>155000</v>
      </c>
    </row>
    <row r="5" spans="1:4" x14ac:dyDescent="0.3">
      <c r="A5" s="11" t="s">
        <v>7</v>
      </c>
      <c r="B5" s="14">
        <v>475000</v>
      </c>
      <c r="C5" s="17">
        <v>340000</v>
      </c>
      <c r="D5" s="17">
        <v>135000</v>
      </c>
    </row>
    <row r="6" spans="1:4" x14ac:dyDescent="0.3">
      <c r="A6" s="11" t="s">
        <v>8</v>
      </c>
      <c r="B6" s="14">
        <v>540000</v>
      </c>
      <c r="C6" s="17">
        <v>370000</v>
      </c>
      <c r="D6" s="17">
        <v>170000</v>
      </c>
    </row>
    <row r="7" spans="1:4" x14ac:dyDescent="0.3">
      <c r="A7" s="11" t="s">
        <v>9</v>
      </c>
      <c r="B7" s="14">
        <v>620000</v>
      </c>
      <c r="C7" s="17">
        <v>410000</v>
      </c>
      <c r="D7" s="17">
        <v>210000</v>
      </c>
    </row>
    <row r="8" spans="1:4" x14ac:dyDescent="0.3">
      <c r="A8" s="11" t="s">
        <v>10</v>
      </c>
      <c r="B8" s="14">
        <v>590000</v>
      </c>
      <c r="C8" s="17">
        <v>395000</v>
      </c>
      <c r="D8" s="17">
        <v>195000</v>
      </c>
    </row>
    <row r="9" spans="1:4" x14ac:dyDescent="0.3">
      <c r="A9" s="11" t="s">
        <v>11</v>
      </c>
      <c r="B9" s="14">
        <v>650000</v>
      </c>
      <c r="C9" s="17">
        <v>425000</v>
      </c>
      <c r="D9" s="17">
        <v>225000</v>
      </c>
    </row>
    <row r="10" spans="1:4" x14ac:dyDescent="0.3">
      <c r="A10" s="11" t="s">
        <v>12</v>
      </c>
      <c r="B10" s="14">
        <v>710000</v>
      </c>
      <c r="C10" s="17">
        <v>460000</v>
      </c>
      <c r="D10" s="17">
        <v>250000</v>
      </c>
    </row>
    <row r="11" spans="1:4" x14ac:dyDescent="0.3">
      <c r="A11" s="11" t="s">
        <v>13</v>
      </c>
      <c r="B11" s="14">
        <v>680000</v>
      </c>
      <c r="C11" s="17">
        <v>440000</v>
      </c>
      <c r="D11" s="17">
        <v>240000</v>
      </c>
    </row>
    <row r="12" spans="1:4" x14ac:dyDescent="0.3">
      <c r="A12" s="11" t="s">
        <v>14</v>
      </c>
      <c r="B12" s="14">
        <v>760000</v>
      </c>
      <c r="C12" s="17">
        <v>490000</v>
      </c>
      <c r="D12" s="17">
        <v>270000</v>
      </c>
    </row>
    <row r="13" spans="1:4" x14ac:dyDescent="0.3">
      <c r="A13" s="11" t="s">
        <v>15</v>
      </c>
      <c r="B13" s="14">
        <v>830000</v>
      </c>
      <c r="C13" s="17">
        <v>520000</v>
      </c>
      <c r="D13" s="17">
        <v>310000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selection activeCell="D18" sqref="D18"/>
    </sheetView>
  </sheetViews>
  <sheetFormatPr defaultRowHeight="14.4" x14ac:dyDescent="0.3"/>
  <cols>
    <col min="2" max="2" width="10.109375" bestFit="1" customWidth="1"/>
    <col min="3" max="3" width="8" customWidth="1"/>
  </cols>
  <sheetData>
    <row r="1" spans="1:5" x14ac:dyDescent="0.3">
      <c r="A1" s="12" t="s">
        <v>16</v>
      </c>
      <c r="B1" s="15" t="s">
        <v>17</v>
      </c>
      <c r="C1" s="12" t="s">
        <v>18</v>
      </c>
      <c r="D1" s="12" t="s">
        <v>19</v>
      </c>
      <c r="E1" s="12" t="s">
        <v>20</v>
      </c>
    </row>
    <row r="2" spans="1:5" x14ac:dyDescent="0.3">
      <c r="A2" s="11" t="s">
        <v>21</v>
      </c>
      <c r="B2" s="11">
        <v>2450</v>
      </c>
      <c r="C2" s="11">
        <v>1520</v>
      </c>
      <c r="D2" s="11">
        <v>3800</v>
      </c>
      <c r="E2" s="11">
        <v>1650</v>
      </c>
    </row>
    <row r="3" spans="1:5" x14ac:dyDescent="0.3">
      <c r="A3" s="11" t="s">
        <v>22</v>
      </c>
      <c r="B3" s="11">
        <v>2510</v>
      </c>
      <c r="C3" s="11">
        <v>1490</v>
      </c>
      <c r="D3" s="11">
        <v>3850</v>
      </c>
      <c r="E3" s="11">
        <v>1680</v>
      </c>
    </row>
    <row r="4" spans="1:5" x14ac:dyDescent="0.3">
      <c r="A4" s="11" t="s">
        <v>23</v>
      </c>
      <c r="B4" s="11">
        <v>2480</v>
      </c>
      <c r="C4" s="11">
        <v>1555</v>
      </c>
      <c r="D4" s="11">
        <v>3790</v>
      </c>
      <c r="E4" s="11">
        <v>1700</v>
      </c>
    </row>
    <row r="5" spans="1:5" x14ac:dyDescent="0.3">
      <c r="A5" s="11" t="s">
        <v>24</v>
      </c>
      <c r="B5" s="11">
        <v>2560</v>
      </c>
      <c r="C5" s="11">
        <v>1610</v>
      </c>
      <c r="D5" s="11">
        <v>3920</v>
      </c>
      <c r="E5" s="11">
        <v>1720</v>
      </c>
    </row>
    <row r="6" spans="1:5" x14ac:dyDescent="0.3">
      <c r="A6" s="11" t="s">
        <v>25</v>
      </c>
      <c r="B6" s="11">
        <v>2530</v>
      </c>
      <c r="C6" s="11">
        <v>1580</v>
      </c>
      <c r="D6" s="11">
        <v>3870</v>
      </c>
      <c r="E6" s="11">
        <v>1695</v>
      </c>
    </row>
    <row r="7" spans="1:5" x14ac:dyDescent="0.3">
      <c r="A7" s="11" t="s">
        <v>26</v>
      </c>
      <c r="B7" s="11">
        <v>2620</v>
      </c>
      <c r="C7" s="11">
        <v>1640</v>
      </c>
      <c r="D7" s="11">
        <v>3950</v>
      </c>
      <c r="E7" s="11">
        <v>1760</v>
      </c>
    </row>
    <row r="8" spans="1:5" x14ac:dyDescent="0.3">
      <c r="A8" s="11" t="s">
        <v>27</v>
      </c>
      <c r="B8" s="11">
        <v>2590</v>
      </c>
      <c r="C8" s="11">
        <v>1700</v>
      </c>
      <c r="D8" s="11">
        <v>4010</v>
      </c>
      <c r="E8" s="11">
        <v>1780</v>
      </c>
    </row>
    <row r="9" spans="1:5" x14ac:dyDescent="0.3">
      <c r="A9" s="11" t="s">
        <v>28</v>
      </c>
      <c r="B9" s="11">
        <v>2680</v>
      </c>
      <c r="C9" s="11">
        <v>1670</v>
      </c>
      <c r="D9" s="11">
        <v>4080</v>
      </c>
      <c r="E9" s="11">
        <v>1810</v>
      </c>
    </row>
    <row r="10" spans="1:5" x14ac:dyDescent="0.3">
      <c r="A10" s="11" t="s">
        <v>29</v>
      </c>
      <c r="B10" s="11">
        <v>2750</v>
      </c>
      <c r="C10" s="11">
        <v>1720</v>
      </c>
      <c r="D10" s="11">
        <v>4120</v>
      </c>
      <c r="E10" s="11">
        <v>1840</v>
      </c>
    </row>
    <row r="11" spans="1:5" x14ac:dyDescent="0.3">
      <c r="A11" s="11" t="s">
        <v>30</v>
      </c>
      <c r="B11" s="11">
        <v>2720</v>
      </c>
      <c r="C11" s="11">
        <v>1760</v>
      </c>
      <c r="D11" s="11">
        <v>4090</v>
      </c>
      <c r="E11" s="11">
        <v>1870</v>
      </c>
    </row>
    <row r="12" spans="1:5" x14ac:dyDescent="0.3">
      <c r="A12" s="11" t="s">
        <v>31</v>
      </c>
      <c r="B12" s="11">
        <v>2810</v>
      </c>
      <c r="C12" s="11">
        <v>1800</v>
      </c>
      <c r="D12" s="11">
        <v>4200</v>
      </c>
      <c r="E12" s="11">
        <v>1900</v>
      </c>
    </row>
    <row r="13" spans="1:5" x14ac:dyDescent="0.3">
      <c r="A13" s="11" t="s">
        <v>32</v>
      </c>
      <c r="B13" s="11">
        <v>2870</v>
      </c>
      <c r="C13" s="11">
        <v>1830</v>
      </c>
      <c r="D13" s="11">
        <v>4280</v>
      </c>
      <c r="E13" s="11">
        <v>1940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>
      <selection activeCell="B2" sqref="B2:B7"/>
    </sheetView>
  </sheetViews>
  <sheetFormatPr defaultRowHeight="14.4" x14ac:dyDescent="0.3"/>
  <cols>
    <col min="1" max="1" width="15.6640625" bestFit="1" customWidth="1"/>
    <col min="2" max="2" width="13.88671875" bestFit="1" customWidth="1"/>
  </cols>
  <sheetData>
    <row r="1" spans="1:2" x14ac:dyDescent="0.3">
      <c r="A1" s="12" t="s">
        <v>33</v>
      </c>
      <c r="B1" s="12" t="s">
        <v>34</v>
      </c>
    </row>
    <row r="2" spans="1:2" x14ac:dyDescent="0.3">
      <c r="A2" s="11" t="s">
        <v>35</v>
      </c>
      <c r="B2" s="17">
        <v>1650000</v>
      </c>
    </row>
    <row r="3" spans="1:2" x14ac:dyDescent="0.3">
      <c r="A3" s="11" t="s">
        <v>36</v>
      </c>
      <c r="B3" s="17">
        <v>2550000</v>
      </c>
    </row>
    <row r="4" spans="1:2" x14ac:dyDescent="0.3">
      <c r="A4" s="11" t="s">
        <v>37</v>
      </c>
      <c r="B4" s="17">
        <v>870000</v>
      </c>
    </row>
    <row r="5" spans="1:2" x14ac:dyDescent="0.3">
      <c r="A5" s="11" t="s">
        <v>38</v>
      </c>
      <c r="B5" s="17">
        <v>1180000</v>
      </c>
    </row>
    <row r="6" spans="1:2" x14ac:dyDescent="0.3">
      <c r="A6" s="11" t="s">
        <v>39</v>
      </c>
      <c r="B6" s="17">
        <v>580000</v>
      </c>
    </row>
    <row r="7" spans="1:2" x14ac:dyDescent="0.3">
      <c r="A7" s="11" t="s">
        <v>40</v>
      </c>
      <c r="B7" s="17">
        <v>810000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showGridLines="0" workbookViewId="0">
      <selection activeCell="C2" sqref="C2:C13"/>
    </sheetView>
  </sheetViews>
  <sheetFormatPr defaultRowHeight="14.4" x14ac:dyDescent="0.3"/>
  <cols>
    <col min="2" max="3" width="12.77734375" bestFit="1" customWidth="1"/>
  </cols>
  <sheetData>
    <row r="1" spans="1:3" x14ac:dyDescent="0.3">
      <c r="A1" s="12" t="s">
        <v>0</v>
      </c>
      <c r="B1" s="12" t="s">
        <v>1</v>
      </c>
      <c r="C1" s="12" t="s">
        <v>2</v>
      </c>
    </row>
    <row r="2" spans="1:3" x14ac:dyDescent="0.3">
      <c r="A2" s="11" t="s">
        <v>4</v>
      </c>
      <c r="B2" s="17">
        <v>420000</v>
      </c>
      <c r="C2" s="17">
        <v>310000</v>
      </c>
    </row>
    <row r="3" spans="1:3" x14ac:dyDescent="0.3">
      <c r="A3" s="11" t="s">
        <v>5</v>
      </c>
      <c r="B3" s="17">
        <v>385000</v>
      </c>
      <c r="C3" s="17">
        <v>295000</v>
      </c>
    </row>
    <row r="4" spans="1:3" x14ac:dyDescent="0.3">
      <c r="A4" s="11" t="s">
        <v>6</v>
      </c>
      <c r="B4" s="17">
        <v>510000</v>
      </c>
      <c r="C4" s="17">
        <v>355000</v>
      </c>
    </row>
    <row r="5" spans="1:3" x14ac:dyDescent="0.3">
      <c r="A5" s="11" t="s">
        <v>7</v>
      </c>
      <c r="B5" s="17">
        <v>475000</v>
      </c>
      <c r="C5" s="17">
        <v>340000</v>
      </c>
    </row>
    <row r="6" spans="1:3" x14ac:dyDescent="0.3">
      <c r="A6" s="11" t="s">
        <v>8</v>
      </c>
      <c r="B6" s="17">
        <v>540000</v>
      </c>
      <c r="C6" s="17">
        <v>370000</v>
      </c>
    </row>
    <row r="7" spans="1:3" x14ac:dyDescent="0.3">
      <c r="A7" s="11" t="s">
        <v>9</v>
      </c>
      <c r="B7" s="17">
        <v>620000</v>
      </c>
      <c r="C7" s="17">
        <v>410000</v>
      </c>
    </row>
    <row r="8" spans="1:3" x14ac:dyDescent="0.3">
      <c r="A8" s="11" t="s">
        <v>10</v>
      </c>
      <c r="B8" s="17">
        <v>590000</v>
      </c>
      <c r="C8" s="17">
        <v>395000</v>
      </c>
    </row>
    <row r="9" spans="1:3" x14ac:dyDescent="0.3">
      <c r="A9" s="11" t="s">
        <v>11</v>
      </c>
      <c r="B9" s="17">
        <v>650000</v>
      </c>
      <c r="C9" s="17">
        <v>425000</v>
      </c>
    </row>
    <row r="10" spans="1:3" x14ac:dyDescent="0.3">
      <c r="A10" s="11" t="s">
        <v>12</v>
      </c>
      <c r="B10" s="17">
        <v>710000</v>
      </c>
      <c r="C10" s="17">
        <v>460000</v>
      </c>
    </row>
    <row r="11" spans="1:3" x14ac:dyDescent="0.3">
      <c r="A11" s="11" t="s">
        <v>13</v>
      </c>
      <c r="B11" s="17">
        <v>680000</v>
      </c>
      <c r="C11" s="17">
        <v>440000</v>
      </c>
    </row>
    <row r="12" spans="1:3" x14ac:dyDescent="0.3">
      <c r="A12" s="11" t="s">
        <v>14</v>
      </c>
      <c r="B12" s="17">
        <v>760000</v>
      </c>
      <c r="C12" s="17">
        <v>490000</v>
      </c>
    </row>
    <row r="13" spans="1:3" x14ac:dyDescent="0.3">
      <c r="A13" s="11" t="s">
        <v>15</v>
      </c>
      <c r="B13" s="17">
        <v>830000</v>
      </c>
      <c r="C13" s="17">
        <v>520000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"/>
  <sheetViews>
    <sheetView showGridLines="0" zoomScale="71" workbookViewId="0">
      <selection activeCell="R1" sqref="R1"/>
    </sheetView>
  </sheetViews>
  <sheetFormatPr defaultRowHeight="14.4" x14ac:dyDescent="0.3"/>
  <cols>
    <col min="1" max="1" width="14" customWidth="1"/>
    <col min="2" max="2" width="16.5546875" bestFit="1" customWidth="1"/>
    <col min="3" max="4" width="14" customWidth="1"/>
    <col min="5" max="5" width="17.6640625" bestFit="1" customWidth="1"/>
    <col min="6" max="10" width="14" customWidth="1"/>
    <col min="11" max="11" width="14.5546875" bestFit="1" customWidth="1"/>
    <col min="12" max="16" width="14" customWidth="1"/>
    <col min="18" max="18" width="9.6640625" customWidth="1"/>
    <col min="19" max="21" width="13.77734375" bestFit="1" customWidth="1"/>
  </cols>
  <sheetData>
    <row r="1" spans="1:21" ht="34.950000000000003" customHeight="1" x14ac:dyDescent="0.3">
      <c r="A1" s="9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R1" s="12" t="s">
        <v>0</v>
      </c>
      <c r="S1" s="12" t="s">
        <v>1</v>
      </c>
      <c r="T1" s="12" t="s">
        <v>2</v>
      </c>
      <c r="U1" s="12" t="s">
        <v>42</v>
      </c>
    </row>
    <row r="2" spans="1:21" x14ac:dyDescent="0.3">
      <c r="R2" s="13" t="s">
        <v>4</v>
      </c>
      <c r="S2" s="17">
        <v>420000</v>
      </c>
      <c r="T2" s="17">
        <v>310000</v>
      </c>
      <c r="U2" s="17">
        <v>110000</v>
      </c>
    </row>
    <row r="3" spans="1:21" ht="22.05" customHeight="1" x14ac:dyDescent="0.3">
      <c r="B3" s="1" t="s">
        <v>43</v>
      </c>
      <c r="E3" s="2" t="s">
        <v>44</v>
      </c>
      <c r="H3" s="3" t="s">
        <v>45</v>
      </c>
      <c r="K3" s="4" t="s">
        <v>46</v>
      </c>
      <c r="R3" s="13" t="s">
        <v>5</v>
      </c>
      <c r="S3" s="17">
        <v>385000</v>
      </c>
      <c r="T3" s="17">
        <v>295000</v>
      </c>
      <c r="U3" s="17">
        <v>90000</v>
      </c>
    </row>
    <row r="4" spans="1:21" ht="28.05" customHeight="1" x14ac:dyDescent="0.3">
      <c r="B4" s="5">
        <f>SUM(S2:S13)</f>
        <v>7170000</v>
      </c>
      <c r="E4" s="6">
        <f>SUM(T2:T13)</f>
        <v>4810000</v>
      </c>
      <c r="H4" s="7">
        <f>SUM(U2:U13)</f>
        <v>2360000</v>
      </c>
      <c r="K4" s="8">
        <f>AVERAGE(U2:U13)/AVERAGE(S2:S13)</f>
        <v>0.32914923291492326</v>
      </c>
      <c r="R4" s="13" t="s">
        <v>6</v>
      </c>
      <c r="S4" s="17">
        <v>510000</v>
      </c>
      <c r="T4" s="17">
        <v>355000</v>
      </c>
      <c r="U4" s="17">
        <v>155000</v>
      </c>
    </row>
    <row r="5" spans="1:21" x14ac:dyDescent="0.3">
      <c r="R5" s="13" t="s">
        <v>7</v>
      </c>
      <c r="S5" s="17">
        <v>475000</v>
      </c>
      <c r="T5" s="17">
        <v>340000</v>
      </c>
      <c r="U5" s="17">
        <v>135000</v>
      </c>
    </row>
    <row r="6" spans="1:21" x14ac:dyDescent="0.3">
      <c r="R6" s="13" t="s">
        <v>8</v>
      </c>
      <c r="S6" s="17">
        <v>540000</v>
      </c>
      <c r="T6" s="17">
        <v>370000</v>
      </c>
      <c r="U6" s="17">
        <v>170000</v>
      </c>
    </row>
    <row r="7" spans="1:21" x14ac:dyDescent="0.3">
      <c r="R7" s="13" t="s">
        <v>9</v>
      </c>
      <c r="S7" s="17">
        <v>620000</v>
      </c>
      <c r="T7" s="17">
        <v>410000</v>
      </c>
      <c r="U7" s="17">
        <v>210000</v>
      </c>
    </row>
    <row r="8" spans="1:21" x14ac:dyDescent="0.3">
      <c r="R8" s="13" t="s">
        <v>10</v>
      </c>
      <c r="S8" s="17">
        <v>590000</v>
      </c>
      <c r="T8" s="17">
        <v>395000</v>
      </c>
      <c r="U8" s="17">
        <v>195000</v>
      </c>
    </row>
    <row r="9" spans="1:21" x14ac:dyDescent="0.3">
      <c r="R9" s="13" t="s">
        <v>11</v>
      </c>
      <c r="S9" s="17">
        <v>650000</v>
      </c>
      <c r="T9" s="17">
        <v>425000</v>
      </c>
      <c r="U9" s="17">
        <v>225000</v>
      </c>
    </row>
    <row r="10" spans="1:21" x14ac:dyDescent="0.3">
      <c r="R10" s="13" t="s">
        <v>12</v>
      </c>
      <c r="S10" s="17">
        <v>710000</v>
      </c>
      <c r="T10" s="17">
        <v>460000</v>
      </c>
      <c r="U10" s="17">
        <v>250000</v>
      </c>
    </row>
    <row r="11" spans="1:21" x14ac:dyDescent="0.3">
      <c r="R11" s="13" t="s">
        <v>13</v>
      </c>
      <c r="S11" s="17">
        <v>680000</v>
      </c>
      <c r="T11" s="17">
        <v>440000</v>
      </c>
      <c r="U11" s="17">
        <v>240000</v>
      </c>
    </row>
    <row r="12" spans="1:21" x14ac:dyDescent="0.3">
      <c r="R12" s="13" t="s">
        <v>14</v>
      </c>
      <c r="S12" s="17">
        <v>760000</v>
      </c>
      <c r="T12" s="17">
        <v>490000</v>
      </c>
      <c r="U12" s="17">
        <v>270000</v>
      </c>
    </row>
    <row r="13" spans="1:21" x14ac:dyDescent="0.3">
      <c r="R13" s="13" t="s">
        <v>15</v>
      </c>
      <c r="S13" s="17">
        <v>830000</v>
      </c>
      <c r="T13" s="17">
        <v>520000</v>
      </c>
      <c r="U13" s="17">
        <v>310000</v>
      </c>
    </row>
  </sheetData>
  <mergeCells count="1">
    <mergeCell ref="A1:P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Bar Chart</vt:lpstr>
      <vt:lpstr>Line Chart</vt:lpstr>
      <vt:lpstr>Pie Chart</vt:lpstr>
      <vt:lpstr>Area Chart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2026-05-02T17:27:15Z</dcterms:created>
  <dcterms:modified xsi:type="dcterms:W3CDTF">2026-05-02T17:47:25Z</dcterms:modified>
</cp:coreProperties>
</file>