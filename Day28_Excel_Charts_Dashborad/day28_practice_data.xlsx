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Data" sheetId="1" state="visible" r:id="rId1"/>
    <sheet name="Dept Expenses" sheetId="2" state="visible" r:id="rId2"/>
    <sheet name="Stock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AECDE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3" fontId="2" fillId="3" borderId="1" pivotButton="0" quotePrefix="0" xfId="0"/>
    <xf numFmtId="0" fontId="2" fillId="4" borderId="1" applyAlignment="1" pivotButton="0" quotePrefix="0" xfId="0">
      <alignment horizontal="left"/>
    </xf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2" customHeight="1">
      <c r="A1" s="1" t="inlineStr">
        <is>
          <t>Month</t>
        </is>
      </c>
      <c r="B1" s="1" t="inlineStr">
        <is>
          <t>Revenue (₹)</t>
        </is>
      </c>
      <c r="C1" s="1" t="inlineStr">
        <is>
          <t>Expenses (₹)</t>
        </is>
      </c>
      <c r="D1" s="1" t="inlineStr">
        <is>
          <t>Net Profit (₹)</t>
        </is>
      </c>
      <c r="E1" s="1" t="inlineStr">
        <is>
          <t>Profit Margin (%)</t>
        </is>
      </c>
    </row>
    <row r="2">
      <c r="A2" s="2" t="inlineStr">
        <is>
          <t>Jan</t>
        </is>
      </c>
      <c r="B2" s="3" t="n">
        <v>420000</v>
      </c>
      <c r="C2" s="3" t="n">
        <v>310000</v>
      </c>
      <c r="D2" s="3">
        <f>B2-C2</f>
        <v/>
      </c>
      <c r="E2" s="4">
        <f>D2/B2</f>
        <v/>
      </c>
    </row>
    <row r="3">
      <c r="A3" s="5" t="inlineStr">
        <is>
          <t>Feb</t>
        </is>
      </c>
      <c r="B3" s="6" t="n">
        <v>385000</v>
      </c>
      <c r="C3" s="6" t="n">
        <v>295000</v>
      </c>
      <c r="D3" s="6">
        <f>B3-C3</f>
        <v/>
      </c>
      <c r="E3" s="7">
        <f>D3/B3</f>
        <v/>
      </c>
    </row>
    <row r="4">
      <c r="A4" s="2" t="inlineStr">
        <is>
          <t>Mar</t>
        </is>
      </c>
      <c r="B4" s="3" t="n">
        <v>510000</v>
      </c>
      <c r="C4" s="3" t="n">
        <v>355000</v>
      </c>
      <c r="D4" s="3">
        <f>B4-C4</f>
        <v/>
      </c>
      <c r="E4" s="4">
        <f>D4/B4</f>
        <v/>
      </c>
    </row>
    <row r="5">
      <c r="A5" s="5" t="inlineStr">
        <is>
          <t>Apr</t>
        </is>
      </c>
      <c r="B5" s="6" t="n">
        <v>475000</v>
      </c>
      <c r="C5" s="6" t="n">
        <v>340000</v>
      </c>
      <c r="D5" s="6">
        <f>B5-C5</f>
        <v/>
      </c>
      <c r="E5" s="7">
        <f>D5/B5</f>
        <v/>
      </c>
    </row>
    <row r="6">
      <c r="A6" s="2" t="inlineStr">
        <is>
          <t>May</t>
        </is>
      </c>
      <c r="B6" s="3" t="n">
        <v>540000</v>
      </c>
      <c r="C6" s="3" t="n">
        <v>370000</v>
      </c>
      <c r="D6" s="3">
        <f>B6-C6</f>
        <v/>
      </c>
      <c r="E6" s="4">
        <f>D6/B6</f>
        <v/>
      </c>
    </row>
    <row r="7">
      <c r="A7" s="5" t="inlineStr">
        <is>
          <t>Jun</t>
        </is>
      </c>
      <c r="B7" s="6" t="n">
        <v>620000</v>
      </c>
      <c r="C7" s="6" t="n">
        <v>410000</v>
      </c>
      <c r="D7" s="6">
        <f>B7-C7</f>
        <v/>
      </c>
      <c r="E7" s="7">
        <f>D7/B7</f>
        <v/>
      </c>
    </row>
    <row r="8">
      <c r="A8" s="2" t="inlineStr">
        <is>
          <t>Jul</t>
        </is>
      </c>
      <c r="B8" s="3" t="n">
        <v>590000</v>
      </c>
      <c r="C8" s="3" t="n">
        <v>395000</v>
      </c>
      <c r="D8" s="3">
        <f>B8-C8</f>
        <v/>
      </c>
      <c r="E8" s="4">
        <f>D8/B8</f>
        <v/>
      </c>
    </row>
    <row r="9">
      <c r="A9" s="5" t="inlineStr">
        <is>
          <t>Aug</t>
        </is>
      </c>
      <c r="B9" s="6" t="n">
        <v>650000</v>
      </c>
      <c r="C9" s="6" t="n">
        <v>425000</v>
      </c>
      <c r="D9" s="6">
        <f>B9-C9</f>
        <v/>
      </c>
      <c r="E9" s="7">
        <f>D9/B9</f>
        <v/>
      </c>
    </row>
    <row r="10">
      <c r="A10" s="2" t="inlineStr">
        <is>
          <t>Sep</t>
        </is>
      </c>
      <c r="B10" s="3" t="n">
        <v>710000</v>
      </c>
      <c r="C10" s="3" t="n">
        <v>460000</v>
      </c>
      <c r="D10" s="3">
        <f>B10-C10</f>
        <v/>
      </c>
      <c r="E10" s="4">
        <f>D10/B10</f>
        <v/>
      </c>
    </row>
    <row r="11">
      <c r="A11" s="5" t="inlineStr">
        <is>
          <t>Oct</t>
        </is>
      </c>
      <c r="B11" s="6" t="n">
        <v>680000</v>
      </c>
      <c r="C11" s="6" t="n">
        <v>440000</v>
      </c>
      <c r="D11" s="6">
        <f>B11-C11</f>
        <v/>
      </c>
      <c r="E11" s="7">
        <f>D11/B11</f>
        <v/>
      </c>
    </row>
    <row r="12">
      <c r="A12" s="2" t="inlineStr">
        <is>
          <t>Nov</t>
        </is>
      </c>
      <c r="B12" s="3" t="n">
        <v>760000</v>
      </c>
      <c r="C12" s="3" t="n">
        <v>490000</v>
      </c>
      <c r="D12" s="3">
        <f>B12-C12</f>
        <v/>
      </c>
      <c r="E12" s="4">
        <f>D12/B12</f>
        <v/>
      </c>
    </row>
    <row r="13">
      <c r="A13" s="5" t="inlineStr">
        <is>
          <t>Dec</t>
        </is>
      </c>
      <c r="B13" s="6" t="n">
        <v>830000</v>
      </c>
      <c r="C13" s="6" t="n">
        <v>520000</v>
      </c>
      <c r="D13" s="6">
        <f>B13-C13</f>
        <v/>
      </c>
      <c r="E13" s="7">
        <f>D13/B13</f>
        <v/>
      </c>
    </row>
    <row r="14">
      <c r="A14" s="8" t="inlineStr">
        <is>
          <t>TOTAL</t>
        </is>
      </c>
      <c r="B14" s="9">
        <f>SUM(B2:B13)</f>
        <v/>
      </c>
      <c r="C14" s="9">
        <f>SUM(C2:C13)</f>
        <v/>
      </c>
      <c r="D14" s="9">
        <f>SUM(D2:D13)</f>
        <v/>
      </c>
      <c r="E14" s="10">
        <f>D14/B14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Department</t>
        </is>
      </c>
      <c r="B1" s="1" t="inlineStr">
        <is>
          <t>Annual Budget (₹)</t>
        </is>
      </c>
      <c r="C1" s="1" t="inlineStr">
        <is>
          <t>Actual Spend (₹)</t>
        </is>
      </c>
      <c r="D1" s="1" t="inlineStr">
        <is>
          <t>Variance (₹)</t>
        </is>
      </c>
    </row>
    <row r="2">
      <c r="A2" s="11" t="inlineStr">
        <is>
          <t>Sales &amp; Marketing</t>
        </is>
      </c>
      <c r="B2" s="12" t="n">
        <v>1800000</v>
      </c>
      <c r="C2" s="12" t="n">
        <v>1650000</v>
      </c>
      <c r="D2" s="12">
        <f>B2-C2</f>
        <v/>
      </c>
    </row>
    <row r="3">
      <c r="A3" s="13" t="inlineStr">
        <is>
          <t>Operations</t>
        </is>
      </c>
      <c r="B3" s="14" t="n">
        <v>2400000</v>
      </c>
      <c r="C3" s="14" t="n">
        <v>2550000</v>
      </c>
      <c r="D3" s="14">
        <f>B3-C3</f>
        <v/>
      </c>
    </row>
    <row r="4">
      <c r="A4" s="11" t="inlineStr">
        <is>
          <t>Human Resources</t>
        </is>
      </c>
      <c r="B4" s="12" t="n">
        <v>900000</v>
      </c>
      <c r="C4" s="12" t="n">
        <v>870000</v>
      </c>
      <c r="D4" s="12">
        <f>B4-C4</f>
        <v/>
      </c>
    </row>
    <row r="5">
      <c r="A5" s="13" t="inlineStr">
        <is>
          <t>Technology / IT</t>
        </is>
      </c>
      <c r="B5" s="14" t="n">
        <v>1200000</v>
      </c>
      <c r="C5" s="14" t="n">
        <v>1180000</v>
      </c>
      <c r="D5" s="14">
        <f>B5-C5</f>
        <v/>
      </c>
    </row>
    <row r="6">
      <c r="A6" s="11" t="inlineStr">
        <is>
          <t>Finance &amp; Admin</t>
        </is>
      </c>
      <c r="B6" s="12" t="n">
        <v>600000</v>
      </c>
      <c r="C6" s="12" t="n">
        <v>580000</v>
      </c>
      <c r="D6" s="12">
        <f>B6-C6</f>
        <v/>
      </c>
    </row>
    <row r="7">
      <c r="A7" s="13" t="inlineStr">
        <is>
          <t>R&amp;D</t>
        </is>
      </c>
      <c r="B7" s="14" t="n">
        <v>750000</v>
      </c>
      <c r="C7" s="14" t="n">
        <v>810000</v>
      </c>
      <c r="D7" s="14">
        <f>B7-C7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Week</t>
        </is>
      </c>
      <c r="B1" s="1" t="inlineStr">
        <is>
          <t>RELIANCE</t>
        </is>
      </c>
      <c r="C1" s="1" t="inlineStr">
        <is>
          <t>INFY</t>
        </is>
      </c>
      <c r="D1" s="1" t="inlineStr">
        <is>
          <t>TCS</t>
        </is>
      </c>
      <c r="E1" s="1" t="inlineStr">
        <is>
          <t>HDFC</t>
        </is>
      </c>
    </row>
    <row r="2">
      <c r="A2" s="2" t="inlineStr">
        <is>
          <t>W1</t>
        </is>
      </c>
      <c r="B2" s="3" t="n">
        <v>2450</v>
      </c>
      <c r="C2" s="3" t="n">
        <v>1520</v>
      </c>
      <c r="D2" s="3" t="n">
        <v>3800</v>
      </c>
      <c r="E2" s="3" t="n">
        <v>1650</v>
      </c>
    </row>
    <row r="3">
      <c r="A3" s="5" t="inlineStr">
        <is>
          <t>W2</t>
        </is>
      </c>
      <c r="B3" s="6" t="n">
        <v>2510</v>
      </c>
      <c r="C3" s="6" t="n">
        <v>1490</v>
      </c>
      <c r="D3" s="6" t="n">
        <v>3850</v>
      </c>
      <c r="E3" s="6" t="n">
        <v>1680</v>
      </c>
    </row>
    <row r="4">
      <c r="A4" s="2" t="inlineStr">
        <is>
          <t>W3</t>
        </is>
      </c>
      <c r="B4" s="3" t="n">
        <v>2480</v>
      </c>
      <c r="C4" s="3" t="n">
        <v>1555</v>
      </c>
      <c r="D4" s="3" t="n">
        <v>3790</v>
      </c>
      <c r="E4" s="3" t="n">
        <v>1700</v>
      </c>
    </row>
    <row r="5">
      <c r="A5" s="5" t="inlineStr">
        <is>
          <t>W4</t>
        </is>
      </c>
      <c r="B5" s="6" t="n">
        <v>2560</v>
      </c>
      <c r="C5" s="6" t="n">
        <v>1610</v>
      </c>
      <c r="D5" s="6" t="n">
        <v>3920</v>
      </c>
      <c r="E5" s="6" t="n">
        <v>1720</v>
      </c>
    </row>
    <row r="6">
      <c r="A6" s="2" t="inlineStr">
        <is>
          <t>W5</t>
        </is>
      </c>
      <c r="B6" s="3" t="n">
        <v>2530</v>
      </c>
      <c r="C6" s="3" t="n">
        <v>1580</v>
      </c>
      <c r="D6" s="3" t="n">
        <v>3870</v>
      </c>
      <c r="E6" s="3" t="n">
        <v>1695</v>
      </c>
    </row>
    <row r="7">
      <c r="A7" s="5" t="inlineStr">
        <is>
          <t>W6</t>
        </is>
      </c>
      <c r="B7" s="6" t="n">
        <v>2620</v>
      </c>
      <c r="C7" s="6" t="n">
        <v>1640</v>
      </c>
      <c r="D7" s="6" t="n">
        <v>3950</v>
      </c>
      <c r="E7" s="6" t="n">
        <v>1760</v>
      </c>
    </row>
    <row r="8">
      <c r="A8" s="2" t="inlineStr">
        <is>
          <t>W7</t>
        </is>
      </c>
      <c r="B8" s="3" t="n">
        <v>2590</v>
      </c>
      <c r="C8" s="3" t="n">
        <v>1700</v>
      </c>
      <c r="D8" s="3" t="n">
        <v>4010</v>
      </c>
      <c r="E8" s="3" t="n">
        <v>1780</v>
      </c>
    </row>
    <row r="9">
      <c r="A9" s="5" t="inlineStr">
        <is>
          <t>W8</t>
        </is>
      </c>
      <c r="B9" s="6" t="n">
        <v>2680</v>
      </c>
      <c r="C9" s="6" t="n">
        <v>1670</v>
      </c>
      <c r="D9" s="6" t="n">
        <v>4080</v>
      </c>
      <c r="E9" s="6" t="n">
        <v>1810</v>
      </c>
    </row>
    <row r="10">
      <c r="A10" s="2" t="inlineStr">
        <is>
          <t>W9</t>
        </is>
      </c>
      <c r="B10" s="3" t="n">
        <v>2750</v>
      </c>
      <c r="C10" s="3" t="n">
        <v>1720</v>
      </c>
      <c r="D10" s="3" t="n">
        <v>4120</v>
      </c>
      <c r="E10" s="3" t="n">
        <v>1840</v>
      </c>
    </row>
    <row r="11">
      <c r="A11" s="5" t="inlineStr">
        <is>
          <t>W10</t>
        </is>
      </c>
      <c r="B11" s="6" t="n">
        <v>2720</v>
      </c>
      <c r="C11" s="6" t="n">
        <v>1760</v>
      </c>
      <c r="D11" s="6" t="n">
        <v>4090</v>
      </c>
      <c r="E11" s="6" t="n">
        <v>1870</v>
      </c>
    </row>
    <row r="12">
      <c r="A12" s="2" t="inlineStr">
        <is>
          <t>W11</t>
        </is>
      </c>
      <c r="B12" s="3" t="n">
        <v>2810</v>
      </c>
      <c r="C12" s="3" t="n">
        <v>1800</v>
      </c>
      <c r="D12" s="3" t="n">
        <v>4200</v>
      </c>
      <c r="E12" s="3" t="n">
        <v>1900</v>
      </c>
    </row>
    <row r="13">
      <c r="A13" s="5" t="inlineStr">
        <is>
          <t>W12</t>
        </is>
      </c>
      <c r="B13" s="6" t="n">
        <v>2870</v>
      </c>
      <c r="C13" s="6" t="n">
        <v>1830</v>
      </c>
      <c r="D13" s="6" t="n">
        <v>4280</v>
      </c>
      <c r="E13" s="6" t="n">
        <v>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2026-05-02T17:20:50Z</dcterms:created>
  <dcterms:modified xsi:type="dcterms:W3CDTF">2026-05-02T17:20:50Z</dcterms:modified>
</cp:coreProperties>
</file>